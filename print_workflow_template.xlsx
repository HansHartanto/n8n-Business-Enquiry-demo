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Orders" sheetId="2" state="visible" r:id="rId4"/>
    <sheet name="Rate card" sheetId="3" state="visible" r:id="rId5"/>
    <sheet name="Design changes" sheetId="4" state="visible" r:id="rId6"/>
    <sheet name="Production capacity" sheetId="5" state="visible" r:id="rId7"/>
    <sheet name="KPI dashboard" sheetId="6" state="visible" r:id="rId8"/>
  </sheets>
  <definedNames>
    <definedName function="false" hidden="true" localSheetId="1" name="_xlnm._FilterDatabase" vbProcedure="false">Orders!$A$1:$AA$1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<sst xmlns="http://schemas.openxmlformats.org/spreadsheetml/2006/main" count="128" uniqueCount="113">
  <si>
    <t xml:space="preserve">Print job workflow — Orders database</t>
  </si>
  <si>
    <t xml:space="preserve">One shared backbone for the enquiry-to-production-scheduling pipeline. Each n8n workflow reads from and writes to the Orders tab, using Order ID and Status to hand off between stages.</t>
  </si>
  <si>
    <t xml:space="preserve">Stage</t>
  </si>
  <si>
    <t xml:space="preserve">n8n workflow</t>
  </si>
  <si>
    <t xml:space="preserve">Status values it sets</t>
  </si>
  <si>
    <t xml:space="preserve">Key columns it writes (Orders tab)</t>
  </si>
  <si>
    <t xml:space="preserve">Enquiry</t>
  </si>
  <si>
    <t xml:space="preserve">Enquiry workflow</t>
  </si>
  <si>
    <t xml:space="preserve">Enquiry received / Awaiting info</t>
  </si>
  <si>
    <t xml:space="preserve">A-N (customer details, extracted spec, completeness)</t>
  </si>
  <si>
    <t xml:space="preserve">Estimating</t>
  </si>
  <si>
    <t xml:space="preserve">Estimating workflow</t>
  </si>
  <si>
    <t xml:space="preserve">Quote sent</t>
  </si>
  <si>
    <t xml:space="preserve">O Quote amount, P Quote sent date</t>
  </si>
  <si>
    <t xml:space="preserve">Order capture</t>
  </si>
  <si>
    <t xml:space="preserve">Order capture workflow</t>
  </si>
  <si>
    <t xml:space="preserve">Order confirmed</t>
  </si>
  <si>
    <t xml:space="preserve">Q Quote accepted date</t>
  </si>
  <si>
    <t xml:space="preserve">Proofing</t>
  </si>
  <si>
    <t xml:space="preserve">Proofing workflows A / B / C</t>
  </si>
  <si>
    <t xml:space="preserve">In proofing / Approved</t>
  </si>
  <si>
    <t xml:space="preserve">R-V Proof version, dates, revisions</t>
  </si>
  <si>
    <t xml:space="preserve">Production scheduling</t>
  </si>
  <si>
    <t xml:space="preserve">Scheduling workflow</t>
  </si>
  <si>
    <t xml:space="preserve">Scheduled / In production / Completed</t>
  </si>
  <si>
    <t xml:space="preserve">W-Z Scheduled date, conflict flag, completed date, cycle time</t>
  </si>
  <si>
    <t xml:space="preserve">Status flow (set in column N, Orders tab)</t>
  </si>
  <si>
    <t xml:space="preserve">Enquiry received  -&gt;  Awaiting info (if incomplete, loops back to Enquiry received once customer replies)  -&gt;  Quote sent  -&gt;  Order confirmed  -&gt;  In design  -&gt;  In proofing  -&gt;  Approved  -&gt;  Scheduled  -&gt;  In production  -&gt;  Completed</t>
  </si>
  <si>
    <t xml:space="preserve">Other tabs</t>
  </si>
  <si>
    <t xml:space="preserve">• Rate card — used by the Estimating workflow to look up price per unit by product type and quantity tier.</t>
  </si>
  <si>
    <t xml:space="preserve">• Design changes — structured proof feedback parsed by the Information Extractor during the Proofing stage.</t>
  </si>
  <si>
    <t xml:space="preserve">• Production capacity — daily capacity used by the Scheduling workflow to find and reserve a slot.</t>
  </si>
  <si>
    <t xml:space="preserve">• KPI dashboard — live formulas pulling cycle-time and conflict metrics straight from the Orders tab.</t>
  </si>
  <si>
    <t xml:space="preserve">Order ID</t>
  </si>
  <si>
    <t xml:space="preserve">Customer name</t>
  </si>
  <si>
    <t xml:space="preserve">Customer email</t>
  </si>
  <si>
    <t xml:space="preserve">Enquiry date</t>
  </si>
  <si>
    <t xml:space="preserve">Raw enquiry text</t>
  </si>
  <si>
    <t xml:space="preserve">Product type</t>
  </si>
  <si>
    <t xml:space="preserve">Quantity</t>
  </si>
  <si>
    <t xml:space="preserve">Finish</t>
  </si>
  <si>
    <t xml:space="preserve">Sides</t>
  </si>
  <si>
    <t xml:space="preserve">Deadline</t>
  </si>
  <si>
    <t xml:space="preserve">Has artwork</t>
  </si>
  <si>
    <t xml:space="preserve">Is complete</t>
  </si>
  <si>
    <t xml:space="preserve">Missing fields</t>
  </si>
  <si>
    <t xml:space="preserve">Status</t>
  </si>
  <si>
    <t xml:space="preserve">Quote amount (GBP)</t>
  </si>
  <si>
    <t xml:space="preserve">Quote sent date</t>
  </si>
  <si>
    <t xml:space="preserve">Quote accepted date</t>
  </si>
  <si>
    <t xml:space="preserve">Proof version</t>
  </si>
  <si>
    <t xml:space="preserve">Proof sent date</t>
  </si>
  <si>
    <t xml:space="preserve">Proof approved date</t>
  </si>
  <si>
    <t xml:space="preserve">Proof turnaround (days)</t>
  </si>
  <si>
    <t xml:space="preserve">Revision rounds</t>
  </si>
  <si>
    <t xml:space="preserve">Scheduled production date</t>
  </si>
  <si>
    <t xml:space="preserve">Schedule conflict</t>
  </si>
  <si>
    <t xml:space="preserve">Completed date</t>
  </si>
  <si>
    <t xml:space="preserve">Total cycle time (days)</t>
  </si>
  <si>
    <t xml:space="preserve">Enquiry to quote (days)</t>
  </si>
  <si>
    <t xml:space="preserve">ORD-001</t>
  </si>
  <si>
    <t xml:space="preserve">Sarah Mitchell</t>
  </si>
  <si>
    <t xml:space="preserve">sarah.mitchell@brightleafmarketing.co.uk</t>
  </si>
  <si>
    <t xml:space="preserve">Hi, we're launching a new product and need 2000 A5 flyers, double-sided, full colour, gloss finish. We don't have any artwork yet so we'll need help with the design too. Could you let us know pricing and whether you can have these ready by the 26th?</t>
  </si>
  <si>
    <t xml:space="preserve">Flyers (A5)</t>
  </si>
  <si>
    <t xml:space="preserve">Gloss</t>
  </si>
  <si>
    <t xml:space="preserve">Double-sided</t>
  </si>
  <si>
    <t xml:space="preserve">No</t>
  </si>
  <si>
    <t xml:space="preserve">Scheduled</t>
  </si>
  <si>
    <t xml:space="preserve">ORD-002</t>
  </si>
  <si>
    <t xml:space="preserve">James Carter</t>
  </si>
  <si>
    <t xml:space="preserve">james.carter@email.com</t>
  </si>
  <si>
    <t xml:space="preserve">Hi, can you do some business cards for us? Need them fairly soon.</t>
  </si>
  <si>
    <t xml:space="preserve">Business cards</t>
  </si>
  <si>
    <t xml:space="preserve">quantity, finish, sides</t>
  </si>
  <si>
    <t xml:space="preserve">Awaiting info</t>
  </si>
  <si>
    <t xml:space="preserve">ORD-003</t>
  </si>
  <si>
    <t xml:space="preserve">Tom Reilly</t>
  </si>
  <si>
    <t xml:space="preserve">tom.reilly@northgatehomes.co.uk</t>
  </si>
  <si>
    <t xml:space="preserve">We need 500 A6 postcards printed, single-sided, matte finish, using the design file we are attaching.</t>
  </si>
  <si>
    <t xml:space="preserve">Postcards (A6)</t>
  </si>
  <si>
    <t xml:space="preserve">Matte</t>
  </si>
  <si>
    <t xml:space="preserve">Single-sided</t>
  </si>
  <si>
    <t xml:space="preserve">Yes</t>
  </si>
  <si>
    <t xml:space="preserve">Completed</t>
  </si>
  <si>
    <t xml:space="preserve">Min quantity</t>
  </si>
  <si>
    <t xml:space="preserve">Max quantity</t>
  </si>
  <si>
    <t xml:space="preserve">Price per unit (GBP)</t>
  </si>
  <si>
    <t xml:space="preserve">Finish surcharge per unit (GBP)</t>
  </si>
  <si>
    <t xml:space="preserve">Rush fee (if deadline &lt; 5 days)</t>
  </si>
  <si>
    <t xml:space="preserve">Date requested</t>
  </si>
  <si>
    <t xml:space="preserve">Element</t>
  </si>
  <si>
    <t xml:space="preserve">Instruction</t>
  </si>
  <si>
    <t xml:space="preserve">Priority</t>
  </si>
  <si>
    <t xml:space="preserve">Logo</t>
  </si>
  <si>
    <t xml:space="preserve">Move the logo to the top left corner and increase its size slightly</t>
  </si>
  <si>
    <t xml:space="preserve">Medium</t>
  </si>
  <si>
    <t xml:space="preserve">Resolved</t>
  </si>
  <si>
    <t xml:space="preserve">Date</t>
  </si>
  <si>
    <t xml:space="preserve">Total capacity (minutes)</t>
  </si>
  <si>
    <t xml:space="preserve">Capacity used (minutes)</t>
  </si>
  <si>
    <t xml:space="preserve">Capacity remaining (minutes)</t>
  </si>
  <si>
    <t xml:space="preserve">KPI dashboard</t>
  </si>
  <si>
    <t xml:space="preserve">Live formulas pulling directly from the Orders tab. Add more order rows and these update automatically.</t>
  </si>
  <si>
    <t xml:space="preserve">Metric</t>
  </si>
  <si>
    <t xml:space="preserve">Value</t>
  </si>
  <si>
    <t xml:space="preserve">Average enquiry-to-quote time (days)</t>
  </si>
  <si>
    <t xml:space="preserve">Average proof-to-approval time (days)</t>
  </si>
  <si>
    <t xml:space="preserve">Average total cycle time (days)</t>
  </si>
  <si>
    <t xml:space="preserve">Number of orders logged</t>
  </si>
  <si>
    <t xml:space="preserve">Share complete on first enquiry</t>
  </si>
  <si>
    <t xml:space="preserve">Average revision rounds per job</t>
  </si>
  <si>
    <t xml:space="preserve">Schedule conflict rate</t>
  </si>
</sst>
</file>

<file path=xl/styles.xml><?xml version="1.0" encoding="utf-8"?>
<styleSheet xmlns="http://schemas.openxmlformats.org/spreadsheetml/2006/main">
  <numFmts count="6">
    <numFmt numFmtId="164" formatCode="General"/>
    <numFmt numFmtId="165" formatCode="dd/mm/yyyy"/>
    <numFmt numFmtId="166" formatCode="General"/>
    <numFmt numFmtId="167" formatCode="\£#,##0.00"/>
    <numFmt numFmtId="168" formatCode="0%"/>
    <numFmt numFmtId="169" formatCode="0.0"/>
  </numFmts>
  <fonts count="8">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0"/>
      <color rgb="FFFFFFFF"/>
      <name val="Arial"/>
      <family val="0"/>
      <charset val="1"/>
    </font>
    <font>
      <b val="true"/>
      <sz val="11"/>
      <color rgb="FF1F3864"/>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5" fontId="5" fillId="0" borderId="1" xfId="0" applyFont="true" applyBorder="true" applyAlignment="true" applyProtection="false">
      <alignment horizontal="general" vertical="center" textRotation="0" wrapText="false" indent="0" shrinkToFit="false"/>
      <protection locked="true" hidden="false"/>
    </xf>
    <xf numFmtId="166" fontId="5" fillId="0" borderId="1" xfId="0" applyFont="true" applyBorder="true" applyAlignment="true" applyProtection="false">
      <alignment horizontal="general" vertical="center" textRotation="0" wrapText="false" indent="0" shrinkToFit="false"/>
      <protection locked="true" hidden="false"/>
    </xf>
    <xf numFmtId="167" fontId="5" fillId="0" borderId="1" xfId="0" applyFont="true" applyBorder="true" applyAlignment="true" applyProtection="false">
      <alignment horizontal="general" vertical="center" textRotation="0" wrapText="false" indent="0" shrinkToFit="false"/>
      <protection locked="true" hidden="false"/>
    </xf>
    <xf numFmtId="168" fontId="5" fillId="0" borderId="1"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1F3864"/>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4"/>
    <col collapsed="false" customWidth="true" hidden="false" outlineLevel="0" max="3" min="3" style="0" width="30"/>
    <col collapsed="false" customWidth="true" hidden="false" outlineLevel="0" max="4" min="4" style="0" width="40"/>
    <col collapsed="false" customWidth="true" hidden="false" outlineLevel="0" max="6" min="5" style="0" width="10"/>
  </cols>
  <sheetData>
    <row r="1" customFormat="false" ht="17.35" hidden="false" customHeight="false" outlineLevel="0" collapsed="false">
      <c r="A1" s="1" t="s">
        <v>0</v>
      </c>
    </row>
    <row r="2" customFormat="false" ht="31.5" hidden="false" customHeight="true" outlineLevel="0" collapsed="false">
      <c r="A2" s="2" t="s">
        <v>1</v>
      </c>
      <c r="B2" s="2"/>
      <c r="C2" s="2"/>
      <c r="D2" s="2"/>
      <c r="E2" s="2"/>
      <c r="F2" s="2"/>
    </row>
    <row r="4" customFormat="false" ht="15" hidden="false" customHeight="false" outlineLevel="0" collapsed="false">
      <c r="A4" s="3" t="s">
        <v>2</v>
      </c>
      <c r="B4" s="3" t="s">
        <v>3</v>
      </c>
      <c r="C4" s="3" t="s">
        <v>4</v>
      </c>
      <c r="D4" s="3" t="s">
        <v>5</v>
      </c>
    </row>
    <row r="5" customFormat="false" ht="23.85" hidden="false" customHeight="false" outlineLevel="0" collapsed="false">
      <c r="A5" s="4" t="s">
        <v>6</v>
      </c>
      <c r="B5" s="4" t="s">
        <v>7</v>
      </c>
      <c r="C5" s="4" t="s">
        <v>8</v>
      </c>
      <c r="D5" s="4" t="s">
        <v>9</v>
      </c>
    </row>
    <row r="6" customFormat="false" ht="15" hidden="false" customHeight="false" outlineLevel="0" collapsed="false">
      <c r="A6" s="4" t="s">
        <v>10</v>
      </c>
      <c r="B6" s="4" t="s">
        <v>11</v>
      </c>
      <c r="C6" s="4" t="s">
        <v>12</v>
      </c>
      <c r="D6" s="4" t="s">
        <v>13</v>
      </c>
    </row>
    <row r="7" customFormat="false" ht="15" hidden="false" customHeight="false" outlineLevel="0" collapsed="false">
      <c r="A7" s="4" t="s">
        <v>14</v>
      </c>
      <c r="B7" s="4" t="s">
        <v>15</v>
      </c>
      <c r="C7" s="4" t="s">
        <v>16</v>
      </c>
      <c r="D7" s="4" t="s">
        <v>17</v>
      </c>
    </row>
    <row r="8" customFormat="false" ht="15" hidden="false" customHeight="false" outlineLevel="0" collapsed="false">
      <c r="A8" s="4" t="s">
        <v>18</v>
      </c>
      <c r="B8" s="4" t="s">
        <v>19</v>
      </c>
      <c r="C8" s="4" t="s">
        <v>20</v>
      </c>
      <c r="D8" s="4" t="s">
        <v>21</v>
      </c>
    </row>
    <row r="9" customFormat="false" ht="23.85" hidden="false" customHeight="false" outlineLevel="0" collapsed="false">
      <c r="A9" s="4" t="s">
        <v>22</v>
      </c>
      <c r="B9" s="4" t="s">
        <v>23</v>
      </c>
      <c r="C9" s="4" t="s">
        <v>24</v>
      </c>
      <c r="D9" s="4" t="s">
        <v>25</v>
      </c>
    </row>
    <row r="11" customFormat="false" ht="15" hidden="false" customHeight="false" outlineLevel="0" collapsed="false">
      <c r="A11" s="5" t="s">
        <v>26</v>
      </c>
    </row>
    <row r="12" customFormat="false" ht="30" hidden="false" customHeight="true" outlineLevel="0" collapsed="false">
      <c r="A12" s="2" t="s">
        <v>27</v>
      </c>
      <c r="B12" s="2"/>
      <c r="C12" s="2"/>
      <c r="D12" s="2"/>
      <c r="E12" s="2"/>
      <c r="F12" s="2"/>
    </row>
    <row r="14" customFormat="false" ht="15" hidden="false" customHeight="false" outlineLevel="0" collapsed="false">
      <c r="A14" s="5" t="s">
        <v>28</v>
      </c>
    </row>
    <row r="15" customFormat="false" ht="15" hidden="false" customHeight="true" outlineLevel="0" collapsed="false">
      <c r="A15" s="2" t="s">
        <v>29</v>
      </c>
      <c r="B15" s="2"/>
      <c r="C15" s="2"/>
      <c r="D15" s="2"/>
      <c r="E15" s="2"/>
      <c r="F15" s="2"/>
    </row>
    <row r="16" customFormat="false" ht="15" hidden="false" customHeight="true" outlineLevel="0" collapsed="false">
      <c r="A16" s="2" t="s">
        <v>30</v>
      </c>
      <c r="B16" s="2"/>
      <c r="C16" s="2"/>
      <c r="D16" s="2"/>
      <c r="E16" s="2"/>
      <c r="F16" s="2"/>
    </row>
    <row r="17" customFormat="false" ht="15" hidden="false" customHeight="true" outlineLevel="0" collapsed="false">
      <c r="A17" s="2" t="s">
        <v>31</v>
      </c>
      <c r="B17" s="2"/>
      <c r="C17" s="2"/>
      <c r="D17" s="2"/>
      <c r="E17" s="2"/>
      <c r="F17" s="2"/>
    </row>
    <row r="18" customFormat="false" ht="15" hidden="false" customHeight="true" outlineLevel="0" collapsed="false">
      <c r="A18" s="2" t="s">
        <v>32</v>
      </c>
      <c r="B18" s="2"/>
      <c r="C18" s="2"/>
      <c r="D18" s="2"/>
      <c r="E18" s="2"/>
      <c r="F18" s="2"/>
    </row>
  </sheetData>
  <mergeCells count="6">
    <mergeCell ref="A2:F2"/>
    <mergeCell ref="A12:F12"/>
    <mergeCell ref="A15:F15"/>
    <mergeCell ref="A16:F16"/>
    <mergeCell ref="A17:F17"/>
    <mergeCell ref="A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28"/>
    <col collapsed="false" customWidth="true" hidden="false" outlineLevel="0" max="4" min="4" style="0" width="12"/>
    <col collapsed="false" customWidth="true" hidden="false" outlineLevel="0" max="5" min="5" style="0" width="40"/>
    <col collapsed="false" customWidth="true" hidden="false" outlineLevel="0" max="6" min="6" style="0" width="14"/>
    <col collapsed="false" customWidth="true" hidden="false" outlineLevel="0" max="8" min="7" style="0" width="9"/>
    <col collapsed="false" customWidth="true" hidden="false" outlineLevel="0" max="9" min="9" style="0" width="13"/>
    <col collapsed="false" customWidth="true" hidden="false" outlineLevel="0" max="10" min="10" style="0" width="11"/>
    <col collapsed="false" customWidth="true" hidden="false" outlineLevel="0" max="11" min="11" style="0" width="10"/>
    <col collapsed="false" customWidth="true" hidden="false" outlineLevel="0" max="12" min="12" style="0" width="9"/>
    <col collapsed="false" customWidth="true" hidden="false" outlineLevel="0" max="13" min="13" style="0" width="20"/>
    <col collapsed="false" customWidth="true" hidden="false" outlineLevel="0" max="14" min="14" style="0" width="14"/>
    <col collapsed="false" customWidth="true" hidden="false" outlineLevel="0" max="16" min="15" style="0" width="13"/>
    <col collapsed="false" customWidth="true" hidden="false" outlineLevel="0" max="17" min="17" style="0" width="14"/>
    <col collapsed="false" customWidth="true" hidden="false" outlineLevel="0" max="18" min="18" style="0" width="10"/>
    <col collapsed="false" customWidth="true" hidden="false" outlineLevel="0" max="19" min="19" style="0" width="12"/>
    <col collapsed="false" customWidth="true" hidden="false" outlineLevel="0" max="20" min="20" style="0" width="14"/>
    <col collapsed="false" customWidth="true" hidden="false" outlineLevel="0" max="21" min="21" style="0" width="13"/>
    <col collapsed="false" customWidth="true" hidden="false" outlineLevel="0" max="22" min="22" style="0" width="10"/>
    <col collapsed="false" customWidth="true" hidden="false" outlineLevel="0" max="23" min="23" style="0" width="16"/>
    <col collapsed="false" customWidth="true" hidden="false" outlineLevel="0" max="25" min="24" style="0" width="12"/>
    <col collapsed="false" customWidth="true" hidden="false" outlineLevel="0" max="27" min="26" style="0" width="13"/>
  </cols>
  <sheetData>
    <row r="1" customFormat="false" ht="35.05" hidden="false" customHeight="false" outlineLevel="0" collapsed="false">
      <c r="A1" s="3" t="s">
        <v>33</v>
      </c>
      <c r="B1" s="3" t="s">
        <v>34</v>
      </c>
      <c r="C1" s="3" t="s">
        <v>35</v>
      </c>
      <c r="D1" s="3" t="s">
        <v>36</v>
      </c>
      <c r="E1" s="3" t="s">
        <v>37</v>
      </c>
      <c r="F1" s="3" t="s">
        <v>38</v>
      </c>
      <c r="G1" s="3" t="s">
        <v>39</v>
      </c>
      <c r="H1" s="3" t="s">
        <v>40</v>
      </c>
      <c r="I1" s="3" t="s">
        <v>41</v>
      </c>
      <c r="J1" s="3" t="s">
        <v>42</v>
      </c>
      <c r="K1" s="3" t="s">
        <v>43</v>
      </c>
      <c r="L1" s="3" t="s">
        <v>44</v>
      </c>
      <c r="M1" s="3" t="s">
        <v>45</v>
      </c>
      <c r="N1" s="3" t="s">
        <v>46</v>
      </c>
      <c r="O1" s="3" t="s">
        <v>47</v>
      </c>
      <c r="P1" s="3" t="s">
        <v>48</v>
      </c>
      <c r="Q1" s="3" t="s">
        <v>49</v>
      </c>
      <c r="R1" s="3" t="s">
        <v>50</v>
      </c>
      <c r="S1" s="3" t="s">
        <v>51</v>
      </c>
      <c r="T1" s="3" t="s">
        <v>52</v>
      </c>
      <c r="U1" s="3" t="s">
        <v>53</v>
      </c>
      <c r="V1" s="3" t="s">
        <v>54</v>
      </c>
      <c r="W1" s="3" t="s">
        <v>55</v>
      </c>
      <c r="X1" s="3" t="s">
        <v>56</v>
      </c>
      <c r="Y1" s="3" t="s">
        <v>57</v>
      </c>
      <c r="Z1" s="3" t="s">
        <v>58</v>
      </c>
      <c r="AA1" s="3" t="s">
        <v>59</v>
      </c>
    </row>
    <row r="2" customFormat="false" ht="15" hidden="false" customHeight="false" outlineLevel="0" collapsed="false">
      <c r="A2" s="6" t="s">
        <v>60</v>
      </c>
      <c r="B2" s="6" t="s">
        <v>61</v>
      </c>
      <c r="C2" s="6" t="s">
        <v>62</v>
      </c>
      <c r="D2" s="7" t="n">
        <v>46183</v>
      </c>
      <c r="E2" s="6" t="s">
        <v>63</v>
      </c>
      <c r="F2" s="6" t="s">
        <v>64</v>
      </c>
      <c r="G2" s="6" t="n">
        <v>2000</v>
      </c>
      <c r="H2" s="6" t="s">
        <v>65</v>
      </c>
      <c r="I2" s="6" t="s">
        <v>66</v>
      </c>
      <c r="J2" s="7" t="n">
        <v>46199</v>
      </c>
      <c r="K2" s="6" t="s">
        <v>67</v>
      </c>
      <c r="L2" s="8" t="b">
        <f aca="false">TRUE()</f>
        <v>1</v>
      </c>
      <c r="M2" s="6"/>
      <c r="N2" s="6" t="s">
        <v>68</v>
      </c>
      <c r="O2" s="9" t="n">
        <v>480</v>
      </c>
      <c r="P2" s="7" t="n">
        <v>46183</v>
      </c>
      <c r="Q2" s="7" t="n">
        <v>46184</v>
      </c>
      <c r="R2" s="6" t="n">
        <v>2</v>
      </c>
      <c r="S2" s="7" t="n">
        <v>46188</v>
      </c>
      <c r="T2" s="7" t="n">
        <v>46189</v>
      </c>
      <c r="U2" s="6" t="n">
        <f aca="false">IF(T2="","",T2-S2)</f>
        <v>1</v>
      </c>
      <c r="V2" s="6" t="n">
        <v>1</v>
      </c>
      <c r="W2" s="7" t="n">
        <v>46193</v>
      </c>
      <c r="X2" s="6" t="s">
        <v>67</v>
      </c>
      <c r="Y2" s="7"/>
      <c r="Z2" s="6" t="str">
        <f aca="false">IF(Y2="","",Y2-D2)</f>
        <v/>
      </c>
      <c r="AA2" s="6" t="n">
        <f aca="false">IF(P2="","",P2-D2)</f>
        <v>0</v>
      </c>
    </row>
    <row r="3" customFormat="false" ht="15" hidden="false" customHeight="false" outlineLevel="0" collapsed="false">
      <c r="A3" s="6" t="s">
        <v>69</v>
      </c>
      <c r="B3" s="6" t="s">
        <v>70</v>
      </c>
      <c r="C3" s="6" t="s">
        <v>71</v>
      </c>
      <c r="D3" s="7" t="n">
        <v>46189</v>
      </c>
      <c r="E3" s="6" t="s">
        <v>72</v>
      </c>
      <c r="F3" s="6" t="s">
        <v>73</v>
      </c>
      <c r="G3" s="6"/>
      <c r="H3" s="6"/>
      <c r="I3" s="6"/>
      <c r="J3" s="7"/>
      <c r="K3" s="6" t="s">
        <v>67</v>
      </c>
      <c r="L3" s="8" t="b">
        <f aca="false">FALSE()</f>
        <v>0</v>
      </c>
      <c r="M3" s="6" t="s">
        <v>74</v>
      </c>
      <c r="N3" s="6" t="s">
        <v>75</v>
      </c>
      <c r="O3" s="9"/>
      <c r="P3" s="7"/>
      <c r="Q3" s="7"/>
      <c r="R3" s="6"/>
      <c r="S3" s="7"/>
      <c r="T3" s="7"/>
      <c r="U3" s="6" t="str">
        <f aca="false">IF(T3="","",T3-S3)</f>
        <v/>
      </c>
      <c r="V3" s="6"/>
      <c r="W3" s="7"/>
      <c r="X3" s="6"/>
      <c r="Y3" s="7"/>
      <c r="Z3" s="6" t="str">
        <f aca="false">IF(Y3="","",Y3-D3)</f>
        <v/>
      </c>
      <c r="AA3" s="6" t="str">
        <f aca="false">IF(P3="","",P3-D3)</f>
        <v/>
      </c>
    </row>
    <row r="4" customFormat="false" ht="15" hidden="false" customHeight="false" outlineLevel="0" collapsed="false">
      <c r="A4" s="6" t="s">
        <v>76</v>
      </c>
      <c r="B4" s="6" t="s">
        <v>77</v>
      </c>
      <c r="C4" s="6" t="s">
        <v>78</v>
      </c>
      <c r="D4" s="7" t="n">
        <v>46174</v>
      </c>
      <c r="E4" s="6" t="s">
        <v>79</v>
      </c>
      <c r="F4" s="6" t="s">
        <v>80</v>
      </c>
      <c r="G4" s="6" t="n">
        <v>500</v>
      </c>
      <c r="H4" s="6" t="s">
        <v>81</v>
      </c>
      <c r="I4" s="6" t="s">
        <v>82</v>
      </c>
      <c r="J4" s="7" t="n">
        <v>46188</v>
      </c>
      <c r="K4" s="6" t="s">
        <v>83</v>
      </c>
      <c r="L4" s="8" t="b">
        <f aca="false">TRUE()</f>
        <v>1</v>
      </c>
      <c r="M4" s="6"/>
      <c r="N4" s="6" t="s">
        <v>84</v>
      </c>
      <c r="O4" s="9" t="n">
        <v>150</v>
      </c>
      <c r="P4" s="7" t="n">
        <v>46174</v>
      </c>
      <c r="Q4" s="7" t="n">
        <v>46175</v>
      </c>
      <c r="R4" s="6" t="n">
        <v>1</v>
      </c>
      <c r="S4" s="7" t="n">
        <v>46176</v>
      </c>
      <c r="T4" s="7" t="n">
        <v>46176</v>
      </c>
      <c r="U4" s="6" t="n">
        <f aca="false">IF(T4="","",T4-S4)</f>
        <v>0</v>
      </c>
      <c r="V4" s="6" t="n">
        <v>0</v>
      </c>
      <c r="W4" s="7" t="n">
        <v>46183</v>
      </c>
      <c r="X4" s="6" t="s">
        <v>67</v>
      </c>
      <c r="Y4" s="7" t="n">
        <v>46185</v>
      </c>
      <c r="Z4" s="6" t="n">
        <f aca="false">IF(Y4="","",Y4-D4)</f>
        <v>11</v>
      </c>
      <c r="AA4" s="6" t="n">
        <f aca="false">IF(P4="","",P4-D4)</f>
        <v>0</v>
      </c>
    </row>
  </sheetData>
  <autoFilter ref="A1:AA1"/>
  <dataValidations count="2">
    <dataValidation allowBlank="true" errorStyle="stop" operator="between" showDropDown="false" showErrorMessage="false" showInputMessage="false" sqref="N2:N200" type="list">
      <formula1>"Enquiry received,Awaiting info,Quote sent,Order confirmed,In design,In proofing,Approved,Scheduled,In production,Completed"</formula1>
      <formula2>0</formula2>
    </dataValidation>
    <dataValidation allowBlank="true" errorStyle="stop" operator="between" showDropDown="false" showErrorMessage="false" showInputMessage="false" sqref="K2:K200 X2:X200"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3" min="2" style="0" width="13"/>
    <col collapsed="false" customWidth="true" hidden="false" outlineLevel="0" max="4" min="4" style="0" width="18"/>
    <col collapsed="false" customWidth="true" hidden="false" outlineLevel="0" max="5" min="5" style="0" width="22"/>
    <col collapsed="false" customWidth="true" hidden="false" outlineLevel="0" max="6" min="6" style="0" width="24"/>
  </cols>
  <sheetData>
    <row r="1" customFormat="false" ht="23.85" hidden="false" customHeight="false" outlineLevel="0" collapsed="false">
      <c r="A1" s="3" t="s">
        <v>38</v>
      </c>
      <c r="B1" s="3" t="s">
        <v>85</v>
      </c>
      <c r="C1" s="3" t="s">
        <v>86</v>
      </c>
      <c r="D1" s="3" t="s">
        <v>87</v>
      </c>
      <c r="E1" s="3" t="s">
        <v>88</v>
      </c>
      <c r="F1" s="3" t="s">
        <v>89</v>
      </c>
    </row>
    <row r="2" customFormat="false" ht="15" hidden="false" customHeight="false" outlineLevel="0" collapsed="false">
      <c r="A2" s="6" t="s">
        <v>64</v>
      </c>
      <c r="B2" s="6" t="n">
        <v>1</v>
      </c>
      <c r="C2" s="6" t="n">
        <v>999</v>
      </c>
      <c r="D2" s="9" t="n">
        <v>0.15</v>
      </c>
      <c r="E2" s="9" t="n">
        <v>0.02</v>
      </c>
      <c r="F2" s="10" t="n">
        <v>0.15</v>
      </c>
    </row>
    <row r="3" customFormat="false" ht="15" hidden="false" customHeight="false" outlineLevel="0" collapsed="false">
      <c r="A3" s="6" t="s">
        <v>64</v>
      </c>
      <c r="B3" s="6" t="n">
        <v>1000</v>
      </c>
      <c r="C3" s="6" t="n">
        <v>4999</v>
      </c>
      <c r="D3" s="9" t="n">
        <v>0.12</v>
      </c>
      <c r="E3" s="9" t="n">
        <v>0.02</v>
      </c>
      <c r="F3" s="10" t="n">
        <v>0.15</v>
      </c>
    </row>
    <row r="4" customFormat="false" ht="15" hidden="false" customHeight="false" outlineLevel="0" collapsed="false">
      <c r="A4" s="6" t="s">
        <v>64</v>
      </c>
      <c r="B4" s="6" t="n">
        <v>5000</v>
      </c>
      <c r="C4" s="6" t="n">
        <v>999999</v>
      </c>
      <c r="D4" s="9" t="n">
        <v>0.09</v>
      </c>
      <c r="E4" s="9" t="n">
        <v>0.02</v>
      </c>
      <c r="F4" s="10" t="n">
        <v>0.15</v>
      </c>
    </row>
    <row r="5" customFormat="false" ht="15" hidden="false" customHeight="false" outlineLevel="0" collapsed="false">
      <c r="A5" s="6" t="s">
        <v>73</v>
      </c>
      <c r="B5" s="6" t="n">
        <v>1</v>
      </c>
      <c r="C5" s="6" t="n">
        <v>499</v>
      </c>
      <c r="D5" s="9" t="n">
        <v>0.08</v>
      </c>
      <c r="E5" s="9" t="n">
        <v>0.01</v>
      </c>
      <c r="F5" s="10" t="n">
        <v>0.15</v>
      </c>
    </row>
    <row r="6" customFormat="false" ht="15" hidden="false" customHeight="false" outlineLevel="0" collapsed="false">
      <c r="A6" s="6" t="s">
        <v>73</v>
      </c>
      <c r="B6" s="6" t="n">
        <v>500</v>
      </c>
      <c r="C6" s="6" t="n">
        <v>1999</v>
      </c>
      <c r="D6" s="9" t="n">
        <v>0.06</v>
      </c>
      <c r="E6" s="9" t="n">
        <v>0.01</v>
      </c>
      <c r="F6" s="10" t="n">
        <v>0.15</v>
      </c>
    </row>
    <row r="7" customFormat="false" ht="15" hidden="false" customHeight="false" outlineLevel="0" collapsed="false">
      <c r="A7" s="6" t="s">
        <v>80</v>
      </c>
      <c r="B7" s="6" t="n">
        <v>1</v>
      </c>
      <c r="C7" s="6" t="n">
        <v>999</v>
      </c>
      <c r="D7" s="9" t="n">
        <v>0.1</v>
      </c>
      <c r="E7" s="9" t="n">
        <v>0.015</v>
      </c>
      <c r="F7" s="10" t="n">
        <v>0.15</v>
      </c>
    </row>
    <row r="8" customFormat="false" ht="15" hidden="false" customHeight="false" outlineLevel="0" collapsed="false">
      <c r="A8" s="6" t="s">
        <v>80</v>
      </c>
      <c r="B8" s="6" t="n">
        <v>1000</v>
      </c>
      <c r="C8" s="6" t="n">
        <v>4999</v>
      </c>
      <c r="D8" s="9" t="n">
        <v>0.08</v>
      </c>
      <c r="E8" s="9" t="n">
        <v>0.015</v>
      </c>
      <c r="F8" s="10" t="n">
        <v>0.15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14"/>
    <col collapsed="false" customWidth="true" hidden="false" outlineLevel="0" max="4" min="4" style="0" width="12"/>
    <col collapsed="false" customWidth="true" hidden="false" outlineLevel="0" max="5" min="5" style="0" width="45"/>
    <col collapsed="false" customWidth="true" hidden="false" outlineLevel="0" max="6" min="6" style="0" width="10"/>
    <col collapsed="false" customWidth="true" hidden="false" outlineLevel="0" max="7" min="7" style="0" width="12"/>
  </cols>
  <sheetData>
    <row r="1" customFormat="false" ht="15" hidden="false" customHeight="false" outlineLevel="0" collapsed="false">
      <c r="A1" s="3" t="s">
        <v>33</v>
      </c>
      <c r="B1" s="3" t="s">
        <v>50</v>
      </c>
      <c r="C1" s="3" t="s">
        <v>90</v>
      </c>
      <c r="D1" s="3" t="s">
        <v>91</v>
      </c>
      <c r="E1" s="3" t="s">
        <v>92</v>
      </c>
      <c r="F1" s="3" t="s">
        <v>93</v>
      </c>
      <c r="G1" s="3" t="s">
        <v>46</v>
      </c>
    </row>
    <row r="2" customFormat="false" ht="15" hidden="false" customHeight="false" outlineLevel="0" collapsed="false">
      <c r="A2" s="6" t="s">
        <v>60</v>
      </c>
      <c r="B2" s="6" t="n">
        <v>1</v>
      </c>
      <c r="C2" s="7" t="n">
        <v>46185</v>
      </c>
      <c r="D2" s="6" t="s">
        <v>94</v>
      </c>
      <c r="E2" s="6" t="s">
        <v>95</v>
      </c>
      <c r="F2" s="6" t="s">
        <v>96</v>
      </c>
      <c r="G2" s="6" t="s">
        <v>97</v>
      </c>
    </row>
  </sheetData>
  <dataValidations count="2">
    <dataValidation allowBlank="true" errorStyle="stop" operator="between" showDropDown="false" showErrorMessage="false" showInputMessage="false" sqref="F2:F200" type="list">
      <formula1>"Low,Medium,High"</formula1>
      <formula2>0</formula2>
    </dataValidation>
    <dataValidation allowBlank="true" errorStyle="stop" operator="between" showDropDown="false" showErrorMessage="false" showInputMessage="false" sqref="G2:G200" type="list">
      <formula1>"Open,Resolved"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20"/>
    <col collapsed="false" customWidth="true" hidden="false" outlineLevel="0" max="4" min="4" style="0" width="22"/>
  </cols>
  <sheetData>
    <row r="1" customFormat="false" ht="23.85" hidden="false" customHeight="false" outlineLevel="0" collapsed="false">
      <c r="A1" s="3" t="s">
        <v>98</v>
      </c>
      <c r="B1" s="3" t="s">
        <v>99</v>
      </c>
      <c r="C1" s="3" t="s">
        <v>100</v>
      </c>
      <c r="D1" s="3" t="s">
        <v>101</v>
      </c>
    </row>
    <row r="2" customFormat="false" ht="15" hidden="false" customHeight="false" outlineLevel="0" collapsed="false">
      <c r="A2" s="7" t="n">
        <v>46191</v>
      </c>
      <c r="B2" s="6" t="n">
        <v>480</v>
      </c>
      <c r="C2" s="6" t="n">
        <v>150</v>
      </c>
      <c r="D2" s="6" t="n">
        <f aca="false">B2-C2</f>
        <v>330</v>
      </c>
    </row>
    <row r="3" customFormat="false" ht="15" hidden="false" customHeight="false" outlineLevel="0" collapsed="false">
      <c r="A3" s="7" t="n">
        <v>46192</v>
      </c>
      <c r="B3" s="6" t="n">
        <v>480</v>
      </c>
      <c r="C3" s="6" t="n">
        <v>480</v>
      </c>
      <c r="D3" s="6" t="n">
        <f aca="false">B3-C3</f>
        <v>0</v>
      </c>
    </row>
    <row r="4" customFormat="false" ht="15" hidden="false" customHeight="false" outlineLevel="0" collapsed="false">
      <c r="A4" s="7" t="n">
        <v>46195</v>
      </c>
      <c r="B4" s="6" t="n">
        <v>480</v>
      </c>
      <c r="C4" s="6" t="n">
        <v>200</v>
      </c>
      <c r="D4" s="6" t="n">
        <f aca="false">B4-C4</f>
        <v>280</v>
      </c>
    </row>
    <row r="5" customFormat="false" ht="15" hidden="false" customHeight="false" outlineLevel="0" collapsed="false">
      <c r="A5" s="7" t="n">
        <v>46196</v>
      </c>
      <c r="B5" s="6" t="n">
        <v>480</v>
      </c>
      <c r="C5" s="6" t="n">
        <v>320</v>
      </c>
      <c r="D5" s="6" t="n">
        <f aca="false">B5-C5</f>
        <v>160</v>
      </c>
    </row>
    <row r="6" customFormat="false" ht="15" hidden="false" customHeight="false" outlineLevel="0" collapsed="false">
      <c r="A6" s="7" t="n">
        <v>46197</v>
      </c>
      <c r="B6" s="6" t="n">
        <v>480</v>
      </c>
      <c r="C6" s="6" t="n">
        <v>0</v>
      </c>
      <c r="D6" s="6" t="n">
        <f aca="false">B6-C6</f>
        <v>480</v>
      </c>
    </row>
    <row r="7" customFormat="false" ht="15" hidden="false" customHeight="false" outlineLevel="0" collapsed="false">
      <c r="A7" s="7" t="n">
        <v>46198</v>
      </c>
      <c r="B7" s="6" t="n">
        <v>480</v>
      </c>
      <c r="C7" s="6" t="n">
        <v>100</v>
      </c>
      <c r="D7" s="6" t="n">
        <f aca="false">B7-C7</f>
        <v>380</v>
      </c>
    </row>
    <row r="8" customFormat="false" ht="15" hidden="false" customHeight="false" outlineLevel="0" collapsed="false">
      <c r="A8" s="7" t="n">
        <v>46199</v>
      </c>
      <c r="B8" s="6" t="n">
        <v>480</v>
      </c>
      <c r="C8" s="6" t="n">
        <v>400</v>
      </c>
      <c r="D8" s="6" t="n">
        <f aca="false">B8-C8</f>
        <v>80</v>
      </c>
    </row>
    <row r="9" customFormat="false" ht="15" hidden="false" customHeight="false" outlineLevel="0" collapsed="false">
      <c r="A9" s="7" t="n">
        <v>46202</v>
      </c>
      <c r="B9" s="6" t="n">
        <v>480</v>
      </c>
      <c r="C9" s="6" t="n">
        <v>0</v>
      </c>
      <c r="D9" s="6" t="n">
        <f aca="false">B9-C9</f>
        <v>480</v>
      </c>
    </row>
    <row r="10" customFormat="false" ht="15" hidden="false" customHeight="false" outlineLevel="0" collapsed="false">
      <c r="A10" s="7" t="n">
        <v>46203</v>
      </c>
      <c r="B10" s="6" t="n">
        <v>480</v>
      </c>
      <c r="C10" s="6" t="n">
        <v>0</v>
      </c>
      <c r="D10" s="6" t="n">
        <f aca="false">B10-C10</f>
        <v>480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s>
  <sheetData>
    <row r="1" customFormat="false" ht="17.35" hidden="false" customHeight="false" outlineLevel="0" collapsed="false">
      <c r="A1" s="1" t="s">
        <v>102</v>
      </c>
    </row>
    <row r="2" customFormat="false" ht="15" hidden="false" customHeight="false" outlineLevel="0" collapsed="false">
      <c r="A2" s="11" t="s">
        <v>103</v>
      </c>
      <c r="B2" s="11"/>
    </row>
    <row r="4" customFormat="false" ht="15" hidden="false" customHeight="false" outlineLevel="0" collapsed="false">
      <c r="A4" s="3" t="s">
        <v>104</v>
      </c>
      <c r="B4" s="3" t="s">
        <v>105</v>
      </c>
    </row>
    <row r="5" customFormat="false" ht="15" hidden="false" customHeight="false" outlineLevel="0" collapsed="false">
      <c r="A5" s="12" t="s">
        <v>106</v>
      </c>
      <c r="B5" s="13" t="n">
        <f aca="false">AVERAGE(Orders!AA2:AA200)</f>
        <v>0</v>
      </c>
    </row>
    <row r="6" customFormat="false" ht="15" hidden="false" customHeight="false" outlineLevel="0" collapsed="false">
      <c r="A6" s="12" t="s">
        <v>107</v>
      </c>
      <c r="B6" s="13" t="n">
        <f aca="false">AVERAGE(Orders!U2:U200)</f>
        <v>0.5</v>
      </c>
    </row>
    <row r="7" customFormat="false" ht="15" hidden="false" customHeight="false" outlineLevel="0" collapsed="false">
      <c r="A7" s="12" t="s">
        <v>108</v>
      </c>
      <c r="B7" s="13" t="n">
        <f aca="false">AVERAGE(Orders!Z2:Z200)</f>
        <v>11</v>
      </c>
    </row>
    <row r="8" customFormat="false" ht="15" hidden="false" customHeight="false" outlineLevel="0" collapsed="false">
      <c r="A8" s="12" t="s">
        <v>109</v>
      </c>
      <c r="B8" s="13" t="n">
        <f aca="false">COUNTA(Orders!A2:A200)</f>
        <v>3</v>
      </c>
    </row>
    <row r="9" customFormat="false" ht="15" hidden="false" customHeight="false" outlineLevel="0" collapsed="false">
      <c r="A9" s="12" t="s">
        <v>110</v>
      </c>
      <c r="B9" s="14" t="n">
        <f aca="false">COUNTIF(Orders!L2:L200,TRUE())/COUNTA(Orders!A2:A200)</f>
        <v>0.666666666666667</v>
      </c>
    </row>
    <row r="10" customFormat="false" ht="15" hidden="false" customHeight="false" outlineLevel="0" collapsed="false">
      <c r="A10" s="12" t="s">
        <v>111</v>
      </c>
      <c r="B10" s="13" t="n">
        <f aca="false">AVERAGE(Orders!V2:V200)</f>
        <v>0.5</v>
      </c>
    </row>
    <row r="11" customFormat="false" ht="15" hidden="false" customHeight="false" outlineLevel="0" collapsed="false">
      <c r="A11" s="12" t="s">
        <v>112</v>
      </c>
      <c r="B11" s="14" t="n">
        <f aca="false">COUNTIF(Orders!X2:X200,"Yes")/COUNTA(Orders!A2:A200)</f>
        <v>0</v>
      </c>
    </row>
  </sheetData>
  <mergeCells count="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2026-06-17T18:06:35Z</dcterms:created>
  <dc:creator>openpyxl</dc:creator>
  <dc:description/>
  <dc:language>en-US</dc:language>
  <cp:lastModifiedBy/>
  <dcterms:modified xsi:type="dcterms:W3CDTF">2026-06-17T18:06:35Z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